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ea63c1285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 &amp; plan" sheetId="1" r:id="R7783b9cf446d430d"/>
    <x:sheet xmlns:r="http://schemas.openxmlformats.org/officeDocument/2006/relationships" name="Applications" sheetId="2" r:id="R02da9fd7c27743b4"/>
    <x:sheet xmlns:r="http://schemas.openxmlformats.org/officeDocument/2006/relationships" name="Sources" sheetId="3" r:id="R127121c333e2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2">
    <x:font>
      <x:sz val="11"/>
      <x:name val="Carlito"/>
    </x:font>
    <x:font>
      <x:b/>
      <x:sz val="18"/>
      <x:color rgb="FF17365D"/>
      <x:name val="Arial"/>
    </x:font>
    <x:font>
      <x:i/>
      <x:sz val="10"/>
      <x:color rgb="FF52616B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3"/>
      <x:color rgb="FF17365D"/>
      <x:name val="Arial"/>
    </x:font>
    <x:font>
      <x:b/>
      <x:sz val="11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3F5F7"/>
      </x:patternFill>
    </x:fill>
    <x:fill>
      <x:patternFill patternType="solid">
        <x:fgColor rgb="FFEEF4FA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0">
    <x:border/>
    <x:border>
      <x:bottom style="medium">
        <x:color rgb="FF17365D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7" fillId="5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horizontal="center"/>
    </x:xf>
    <x:xf numFmtId="0" fontId="5" fillId="0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5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/>
    </x:xf>
    <x:xf numFmtId="0" fontId="10" fillId="0" borderId="4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10" fillId="0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horizontal="center"/>
    </x:xf>
    <x:xf numFmtId="0" fontId="8" fillId="0" borderId="8" xfId="0" applyNumberFormat="1" applyFont="1" applyFill="1" applyBorder="1" applyAlignment="1">
      <x:alignment vertical="top"/>
    </x:xf>
    <x:xf numFmtId="0" fontId="10" fillId="0" borderId="9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531f38a724099" /><Relationship Type="http://schemas.openxmlformats.org/officeDocument/2006/relationships/theme" Target="/xl/theme/theme1.xml" Id="R3853d86703fe4160" /><Relationship Type="http://schemas.openxmlformats.org/officeDocument/2006/relationships/sharedStrings" Target="/xl/sharedStrings.xml" Id="Re54713e29d7247a8" /><Relationship Type="http://schemas.openxmlformats.org/officeDocument/2006/relationships/worksheet" Target="/xl/worksheets/sheet1.xml" Id="R7783b9cf446d430d" /><Relationship Type="http://schemas.openxmlformats.org/officeDocument/2006/relationships/worksheet" Target="/xl/worksheets/sheet2.xml" Id="R02da9fd7c27743b4" /><Relationship Type="http://schemas.openxmlformats.org/officeDocument/2006/relationships/worksheet" Target="/xl/worksheets/sheet3.xml" Id="R127121c333e2487a" /></Relationships>
</file>

<file path=xl/tables/table1.xml><?xml version="1.0" encoding="utf-8"?>
<x:table xmlns:x="http://schemas.openxmlformats.org/spreadsheetml/2006/main" id="1" name="ApplicationsTable" displayName="ApplicationsTable" ref="A5:M30" headerRowCount="1" totalsRowCount="0" totalsRowShown="0">
  <x:tableColumns count="13">
    <x:tableColumn id="1" name="Priority"/>
    <x:tableColumn id="2" name="Program / employer"/>
    <x:tableColumn id="3" name="Technical focus"/>
    <x:tableColumn id="4" name="Location / format"/>
    <x:tableColumn id="5" name="Eligibility fit"/>
    <x:tableColumn id="6" name="Application route"/>
    <x:tableColumn id="7" name="Deadline / window"/>
    <x:tableColumn id="8" name="Status"/>
    <x:tableColumn id="9" name="Next action"/>
    <x:tableColumn id="10" name="Deadline date"/>
    <x:tableColumn id="11" name="Days left"/>
    <x:tableColumn id="12" name="Notes"/>
    <x:tableColumn id="13" name="Official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5:D12" headerRowCount="1" totalsRowCount="0" totalsRowShown="0">
  <x:tableColumns count="4">
    <x:tableColumn id="1" name="Program"/>
    <x:tableColumn id="2" name="Official source"/>
    <x:tableColumn id="3" name="What it supports"/>
    <x:tableColumn id="4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6a1d23510a46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7ec557e29e450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54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2" t="str">
        <x:v>2027 SWE internship tracker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" t="str">
        <x:v>Krish Bajaj · High-school senior · Updated 2026-09-05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</x:row>
    <x:row r="5">
      <x:c r="A5" s="34" t="str">
        <x:v>Profile</x:v>
      </x:c>
      <x:c r="B5" s="34" t="str"/>
      <x:c r="C5" s="34" t="str"/>
      <x:c r="D5" s="34" t="str">
        <x:v>Application progress</x:v>
      </x:c>
      <x:c r="E5" s="34" t="str"/>
      <x:c r="F5" s="34" t="str"/>
      <x:c r="G5" s="34" t="str"/>
      <x:c r="H5" s="34" t="str"/>
      <x:c r="I5" s="34" t="str"/>
      <x:c r="J5" s="34" t="str"/>
    </x:row>
    <x:row r="6">
      <x:c r="A6" s="35" t="str">
        <x:v>Target roles</x:v>
      </x:c>
      <x:c r="B6" s="36" t="str">
        <x:v>Software engineering, robotics, computer vision, automation</x:v>
      </x:c>
      <x:c r="C6" s="33"/>
      <x:c r="D6" s="37" t="str">
        <x:v>Applied</x:v>
      </x:c>
      <x:c r="E6" s="38" t="n">
        <x:f>COUNTIF('Applications'!$H$6:$H$30,"Applied")</x:f>
        <x:v>0</x:v>
      </x:c>
      <x:c r="F6" s="33"/>
      <x:c r="G6" s="33"/>
      <x:c r="H6" s="33"/>
      <x:c r="I6" s="33"/>
      <x:c r="J6" s="33"/>
    </x:row>
    <x:row r="7">
      <x:c r="A7" s="35" t="str">
        <x:v>Timeframe</x:v>
      </x:c>
      <x:c r="B7" s="36" t="str">
        <x:v>Summer 2027 and early-college opportunities</x:v>
      </x:c>
      <x:c r="C7" s="33"/>
      <x:c r="D7" s="37" t="str">
        <x:v>Ready to apply</x:v>
      </x:c>
      <x:c r="E7" s="38" t="n">
        <x:f>COUNTIF('Applications'!$H$6:$H$30,"Ready to apply")</x:f>
        <x:v>2</x:v>
      </x:c>
      <x:c r="F7" s="33"/>
      <x:c r="G7" s="33"/>
      <x:c r="H7" s="33"/>
      <x:c r="I7" s="33"/>
      <x:c r="J7" s="33"/>
    </x:row>
    <x:row r="8">
      <x:c r="A8" s="35" t="str">
        <x:v>Preferred scope</x:v>
      </x:c>
      <x:c r="B8" s="36" t="str">
        <x:v>Central Florida, hybrid/remote, or relocation with support</x:v>
      </x:c>
      <x:c r="C8" s="33"/>
      <x:c r="D8" s="37" t="str">
        <x:v>Upcoming deadlines</x:v>
      </x:c>
      <x:c r="E8" s="38" t="n">
        <x:f>COUNTIF('Applications'!$K$6:$K$30,"&gt;0")</x:f>
        <x:v>1</x:v>
      </x:c>
      <x:c r="F8" s="33"/>
      <x:c r="G8" s="33"/>
      <x:c r="H8" s="33"/>
      <x:c r="I8" s="33"/>
      <x:c r="J8" s="33"/>
    </x:row>
    <x:row r="9">
      <x:c r="A9" s="35" t="str">
        <x:v>Education</x:v>
      </x:c>
      <x:c r="B9" s="36" t="str">
        <x:v>IB high-school senior · Expected 2027 · Weighted GPA 4.623 · SAT 1450</x:v>
      </x:c>
      <x:c r="C9" s="33"/>
      <x:c r="D9" s="33"/>
      <x:c r="E9" s="33"/>
      <x:c r="F9" s="33"/>
      <x:c r="G9" s="33"/>
      <x:c r="H9" s="33"/>
      <x:c r="I9" s="33"/>
      <x:c r="J9" s="33"/>
    </x:row>
    <x:row r="10">
      <x:c r="A10" s="35" t="str">
        <x:v>Technical skills</x:v>
      </x:c>
      <x:c r="B10" s="36" t="str">
        <x:v>Java, Python, C++, JavaScript, React, Node.js, Git, Unity</x:v>
      </x:c>
      <x:c r="C10" s="33"/>
      <x:c r="D10" s="33"/>
      <x:c r="E10" s="33"/>
      <x:c r="F10" s="33"/>
      <x:c r="G10" s="33"/>
      <x:c r="H10" s="33"/>
      <x:c r="I10" s="33"/>
      <x:c r="J10" s="33"/>
    </x:row>
    <x:row r="11">
      <x:c r="A11" s="35" t="str">
        <x:v>Best evidence</x:v>
      </x:c>
      <x:c r="B11" s="36" t="str">
        <x:v>FTC lead programmer; UCF CS research; web-development team lead</x:v>
      </x:c>
      <x:c r="C11" s="33"/>
      <x:c r="D11" s="33"/>
      <x:c r="E11" s="33"/>
      <x:c r="F11" s="33"/>
      <x:c r="G11" s="33"/>
      <x:c r="H11" s="33"/>
      <x:c r="I11" s="33"/>
      <x:c r="J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>
      <x:c r="A14" s="39" t="str">
        <x:v>Priority actions</x:v>
      </x:c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 ht="24" hidden="0" customHeight="1">
      <x:c r="A15" s="40" t="str">
        <x:v>1</x:v>
      </x:c>
      <x:c r="B15" s="41" t="str">
        <x:v>Apply to SEAP</x:v>
      </x:c>
      <x:c r="C15" s="42" t="str">
        <x:v>Use FTC autonomy, computer vision, and UCF research to target software/robotics projects.</x:v>
      </x:c>
      <x:c r="D15" s="33"/>
      <x:c r="E15" s="33"/>
      <x:c r="F15" s="33"/>
      <x:c r="G15" s="33"/>
      <x:c r="H15" s="33"/>
      <x:c r="I15" s="33"/>
      <x:c r="J15" s="33"/>
    </x:row>
    <x:row r="16" ht="24" hidden="0" customHeight="1">
      <x:c r="A16" s="43" t="str">
        <x:v>2</x:v>
      </x:c>
      <x:c r="B16" s="44" t="str">
        <x:v>Ask UCF research lead</x:v>
      </x:c>
      <x:c r="C16" s="45" t="str">
        <x:v>Request a 20-minute conversation about a paid or credit-bearing summer research extension and Python/Unity tasks.</x:v>
      </x:c>
      <x:c r="D16" s="33"/>
      <x:c r="E16" s="33"/>
      <x:c r="F16" s="33"/>
      <x:c r="G16" s="33"/>
      <x:c r="H16" s="33"/>
      <x:c r="I16" s="33"/>
      <x:c r="J16" s="33"/>
    </x:row>
    <x:row r="17" ht="24" hidden="0" customHeight="1">
      <x:c r="A17" s="43" t="str">
        <x:v>3</x:v>
      </x:c>
      <x:c r="B17" s="44" t="str">
        <x:v>Reconnect with Edge Systems</x:v>
      </x:c>
      <x:c r="C17" s="45" t="str">
        <x:v>Ask whether the web-development team needs a part-time or summer software contributor.</x:v>
      </x:c>
      <x:c r="D17" s="33"/>
      <x:c r="E17" s="33"/>
      <x:c r="F17" s="33"/>
      <x:c r="G17" s="33"/>
      <x:c r="H17" s="33"/>
      <x:c r="I17" s="33"/>
      <x:c r="J17" s="33"/>
    </x:row>
    <x:row r="18" ht="24" hidden="0" customHeight="1">
      <x:c r="A18" s="46" t="str">
        <x:v>4</x:v>
      </x:c>
      <x:c r="B18" s="47" t="str">
        <x:v>Prepare application packet</x:v>
      </x:c>
      <x:c r="C18" s="48" t="str">
        <x:v>Keep an updated one-page résumé, unofficial transcript, two recommenders, and a short technical-project summary ready.</x:v>
      </x:c>
      <x:c r="D18" s="33"/>
      <x:c r="E18" s="33"/>
      <x:c r="F18" s="33"/>
      <x:c r="G18" s="33"/>
      <x:c r="H18" s="33"/>
      <x:c r="I18" s="33"/>
      <x:c r="J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</x:row>
    <x:row r="21" ht="15" hidden="0" customHeight="1">
      <x:c r="A21" s="39" t="str">
        <x:v>Positioning for applications</x:v>
      </x:c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5" t="str">
        <x:v>Robotics software</x:v>
      </x:c>
      <x:c r="B22" s="36" t="str">
        <x:v>Lead programmer for FTC Team 16290; built Bezier-curve autonomous paths, vision, and automation.</x:v>
      </x:c>
      <x:c r="C22" s="36"/>
      <x:c r="D22" s="33"/>
      <x:c r="E22" s="33"/>
      <x:c r="F22" s="33"/>
      <x:c r="G22" s="33"/>
      <x:c r="H22" s="33"/>
      <x:c r="I22" s="33"/>
      <x:c r="J22" s="33"/>
    </x:row>
    <x:row r="23" ht="15" hidden="0" customHeight="1">
      <x:c r="A23" s="35" t="str">
        <x:v>Research readiness</x:v>
      </x:c>
      <x:c r="B23" s="36" t="str">
        <x:v>UCF Computer Science research assistant exploring computer vision, automation, HRI, XR, Unity, and additional stacks.</x:v>
      </x:c>
      <x:c r="C23" s="36"/>
      <x:c r="D23" s="33"/>
      <x:c r="E23" s="33"/>
      <x:c r="F23" s="33"/>
      <x:c r="G23" s="33"/>
      <x:c r="H23" s="33"/>
      <x:c r="I23" s="33"/>
      <x:c r="J23" s="33"/>
    </x:row>
    <x:row r="24" ht="15" hidden="0" customHeight="1">
      <x:c r="A24" s="35" t="str">
        <x:v>Team impact</x:v>
      </x:c>
      <x:c r="B24" s="36" t="str">
        <x:v>Led a five-person web-development team and helped STEM outreach reach 77,000+ people.</x:v>
      </x:c>
      <x:c r="C24" s="36"/>
      <x:c r="D24" s="33"/>
      <x:c r="E24" s="33"/>
      <x:c r="F24" s="33"/>
      <x:c r="G24" s="33"/>
      <x:c r="H24" s="33"/>
      <x:c r="I24" s="33"/>
      <x:c r="J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</x:row>
  </x:sheetData>
  <x:mergeCells>
    <x:mergeCell ref="B22:C22"/>
    <x:mergeCell ref="B23:C23"/>
    <x:mergeCell ref="B24:C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31" hidden="0" customWidth="1"/>
    <x:col min="4" max="4" width="24" hidden="0" customWidth="1"/>
    <x:col min="5" max="5" width="20" hidden="0" customWidth="1"/>
    <x:col min="6" max="6" width="22" hidden="0" customWidth="1"/>
    <x:col min="7" max="7" width="28" hidden="0" customWidth="1"/>
    <x:col min="8" max="8" width="17" hidden="0" customWidth="1"/>
    <x:col min="9" max="9" width="37" hidden="0" customWidth="1"/>
    <x:col min="10" max="10" width="14" hidden="0" customWidth="1"/>
    <x:col min="11" max="11" width="11" hidden="0" customWidth="1"/>
    <x:col min="12" max="12" width="40" hidden="0" customWidth="1"/>
    <x:col min="13" max="13" width="46" hidden="0" customWidth="1"/>
  </x:cols>
  <x:sheetData>
    <x:row r="1">
      <x:c r="A1" s="1" t="str">
        <x:v>Applications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</x:row>
    <x:row r="2">
      <x:c r="A2" s="3" t="str">
        <x:v>Starter list based on your résumé. Confirm current requirements and openings using the linked official source before applying.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</x:row>
    <x:row r="5" ht="36" hidden="0" customHeight="1">
      <x:c r="A5" s="71" t="str">
        <x:v>Priority</x:v>
      </x:c>
      <x:c r="B5" s="71" t="str">
        <x:v>Program / employer</x:v>
      </x:c>
      <x:c r="C5" s="71" t="str">
        <x:v>Technical focus</x:v>
      </x:c>
      <x:c r="D5" s="71" t="str">
        <x:v>Location / format</x:v>
      </x:c>
      <x:c r="E5" s="71" t="str">
        <x:v>Eligibility fit</x:v>
      </x:c>
      <x:c r="F5" s="71" t="str">
        <x:v>Application route</x:v>
      </x:c>
      <x:c r="G5" s="71" t="str">
        <x:v>Deadline / window</x:v>
      </x:c>
      <x:c r="H5" s="71" t="str">
        <x:v>Status</x:v>
      </x:c>
      <x:c r="I5" s="71" t="str">
        <x:v>Next action</x:v>
      </x:c>
      <x:c r="J5" s="71" t="str">
        <x:v>Deadline date</x:v>
      </x:c>
      <x:c r="K5" s="71" t="str">
        <x:v>Days left</x:v>
      </x:c>
      <x:c r="L5" s="71" t="str">
        <x:v>Notes</x:v>
      </x:c>
      <x:c r="M5" s="71" t="str">
        <x:v>Official source URL</x:v>
      </x:c>
    </x:row>
    <x:row r="6" ht="24" hidden="0" customHeight="1">
      <x:c r="A6" s="67" t="n">
        <x:v>1</x:v>
      </x:c>
      <x:c r="B6" s="36" t="str">
        <x:v>Navy SEAP</x:v>
      </x:c>
      <x:c r="C6" s="36" t="str">
        <x:v>Software, robotics, data, and lab research</x:v>
      </x:c>
      <x:c r="D6" s="36" t="str">
        <x:v>Florida or another participating Navy lab</x:v>
      </x:c>
      <x:c r="E6" s="36" t="str">
        <x:v>Strong fit</x:v>
      </x:c>
      <x:c r="F6" s="36" t="str">
        <x:v>Official SEAP portal</x:v>
      </x:c>
      <x:c r="G6" s="36" t="str">
        <x:v>Portal expected Sep 2026 for Summer 2027</x:v>
      </x:c>
      <x:c r="H6" s="36" t="str">
        <x:v>Ready to apply</x:v>
      </x:c>
      <x:c r="I6" s="68" t="str">
        <x:v>Create profile; tailor project statement to robotics and vision</x:v>
      </x:c>
      <x:c r="J6" s="69"/>
      <x:c r="K6" s="70" t="str">
        <x:f>IF(J6="","",J6-TODAY())</x:f>
      </x:c>
      <x:c r="L6" s="36" t="str">
        <x:v>Paid eight-week high-school research apprenticeship; U.S. citizenship required.</x:v>
      </x:c>
      <x:c r="M6" s="36" t="str">
        <x:v>https://www.onr.navy.mil/education-outreach/k-12-programs/seap</x:v>
      </x:c>
    </x:row>
    <x:row r="7" ht="24" hidden="0" customHeight="1">
      <x:c r="A7" s="67" t="n">
        <x:v>2</x:v>
      </x:c>
      <x:c r="B7" s="36" t="str">
        <x:v>Navy SEAP — NAWCTSD</x:v>
      </x:c>
      <x:c r="C7" s="36" t="str">
        <x:v>Modeling, simulation, C4ISR, cyber, software</x:v>
      </x:c>
      <x:c r="D7" s="36" t="str">
        <x:v>Orlando, FL</x:v>
      </x:c>
      <x:c r="E7" s="36" t="str">
        <x:v>Strong fit</x:v>
      </x:c>
      <x:c r="F7" s="36" t="str">
        <x:v>Apply through SEAP</x:v>
      </x:c>
      <x:c r="G7" s="36" t="str">
        <x:v>Use SEAP window; confirm local projects</x:v>
      </x:c>
      <x:c r="H7" s="36" t="str">
        <x:v>Ready to apply</x:v>
      </x:c>
      <x:c r="I7" s="68" t="str">
        <x:v>Highlight Central Florida location plus UCF, FTC, and Unity experience</x:v>
      </x:c>
      <x:c r="J7" s="69"/>
      <x:c r="K7" s="70" t="str">
        <x:f>IF(J7="","",J7-TODAY())</x:f>
      </x:c>
      <x:c r="L7" s="36" t="str">
        <x:v>NAWCTSD states it mentors high-school SEAP interns and works with UCF.</x:v>
      </x:c>
      <x:c r="M7" s="36" t="str">
        <x:v>https://www.navair.navy.mil/nawctsd/node/216</x:v>
      </x:c>
    </x:row>
    <x:row r="8" ht="36" hidden="0" customHeight="1">
      <x:c r="A8" s="67" t="n">
        <x:v>3</x:v>
      </x:c>
      <x:c r="B8" s="36" t="str">
        <x:v>NASA OSTEM</x:v>
      </x:c>
      <x:c r="C8" s="36" t="str">
        <x:v>Software, automation, computer vision, mission systems</x:v>
      </x:c>
      <x:c r="D8" s="36" t="str">
        <x:v>Kennedy Space Center / other NASA sites</x:v>
      </x:c>
      <x:c r="E8" s="36" t="str">
        <x:v>Verify before applying</x:v>
      </x:c>
      <x:c r="F8" s="36" t="str">
        <x:v>NASA STEM Gateway</x:v>
      </x:c>
      <x:c r="G8" s="36" t="str">
        <x:v>Spring 2027: 2026-09-14; Summer 2027: 2027-02-26</x:v>
      </x:c>
      <x:c r="H8" s="36" t="str">
        <x:v>Researching</x:v>
      </x:c>
      <x:c r="I8" s="68" t="str">
        <x:v>Check current high-school enrollment rule and filter for Florida software projects</x:v>
      </x:c>
      <x:c r="J8" s="69" t="n">
        <x:v>46279</x:v>
      </x:c>
      <x:c r="K8" s="70" t="n">
        <x:f>IF(J8="","",J8-TODAY())</x:f>
        <x:v>9</x:v>
      </x:c>
      <x:c r="L8" s="36" t="str">
        <x:v>Current NASA pages list scheduled 2027 deadlines; eligibility guidance varies by page, so confirm in the application portal.</x:v>
      </x:c>
      <x:c r="M8" s="36" t="str">
        <x:v>https://www.nasa.gov/learning-resources/internship-programs/</x:v>
      </x:c>
    </x:row>
    <x:row r="9" ht="24" hidden="0" customHeight="1">
      <x:c r="A9" s="67" t="n">
        <x:v>4</x:v>
      </x:c>
      <x:c r="B9" s="36" t="str">
        <x:v>NASA SACD internship / volunteer</x:v>
      </x:c>
      <x:c r="C9" s="36" t="str">
        <x:v>Earth science data, software, automation</x:v>
      </x:c>
      <x:c r="D9" s="36" t="str">
        <x:v>NASA centers; project-dependent</x:v>
      </x:c>
      <x:c r="E9" s="36" t="str">
        <x:v>Verify before applying</x:v>
      </x:c>
      <x:c r="F9" s="36" t="str">
        <x:v>NASA SACD opportunities</x:v>
      </x:c>
      <x:c r="G9" s="36" t="str">
        <x:v>Project-dependent</x:v>
      </x:c>
      <x:c r="H9" s="36" t="str">
        <x:v>Researching</x:v>
      </x:c>
      <x:c r="I9" s="68" t="str">
        <x:v>Look for high-school project descriptions and ask whether software/data work is available</x:v>
      </x:c>
      <x:c r="J9" s="69"/>
      <x:c r="K9" s="70" t="str">
        <x:f>IF(J9="","",J9-TODAY())</x:f>
      </x:c>
      <x:c r="L9" s="36" t="str">
        <x:v>NASA SACD states paid internships and volunteer roles can be available to high-school students.</x:v>
      </x:c>
      <x:c r="M9" s="36" t="str">
        <x:v>https://www.nasa.gov/sacd-internships/</x:v>
      </x:c>
    </x:row>
    <x:row r="10" ht="24" hidden="0" customHeight="1">
      <x:c r="A10" s="67" t="n">
        <x:v>5</x:v>
      </x:c>
      <x:c r="B10" s="36" t="str">
        <x:v>NIH Summer Internship Program</x:v>
      </x:c>
      <x:c r="C10" s="36" t="str">
        <x:v>Research informatics, imaging, data tools</x:v>
      </x:c>
      <x:c r="D10" s="36" t="str">
        <x:v>NIH campuses</x:v>
      </x:c>
      <x:c r="E10" s="36" t="str">
        <x:v>Conditional fit</x:v>
      </x:c>
      <x:c r="F10" s="36" t="str">
        <x:v>NIH SIP application</x:v>
      </x:c>
      <x:c r="G10" s="36" t="str">
        <x:v>2027 dates not posted</x:v>
      </x:c>
      <x:c r="H10" s="36" t="str">
        <x:v>Researching</x:v>
      </x:c>
      <x:c r="I10" s="68" t="str">
        <x:v>Review age, graduation, citizenship, and campus-distance requirements</x:v>
      </x:c>
      <x:c r="J10" s="69"/>
      <x:c r="K10" s="70" t="str">
        <x:f>IF(J10="","",J10-TODAY())</x:f>
      </x:c>
      <x:c r="L10" s="36" t="str">
        <x:v>Relevant for imaging/data, but high-school participation has age and location conditions.</x:v>
      </x:c>
      <x:c r="M10" s="36" t="str">
        <x:v>https://www.niehs.nih.gov/careers/research/summers/require</x:v>
      </x:c>
    </x:row>
    <x:row r="11" ht="24" hidden="0" customHeight="1">
      <x:c r="A11" s="67" t="n">
        <x:v>6</x:v>
      </x:c>
      <x:c r="B11" s="36" t="str">
        <x:v>NSA High School Work Study</x:v>
      </x:c>
      <x:c r="C11" s="36" t="str">
        <x:v>Computer / engineering technology</x:v>
      </x:c>
      <x:c r="D11" s="36" t="str">
        <x:v>NSA sites; location-limited</x:v>
      </x:c>
      <x:c r="E11" s="36" t="str">
        <x:v>Low fit unless near a site</x:v>
      </x:c>
      <x:c r="F11" s="36" t="str">
        <x:v>NSA job board</x:v>
      </x:c>
      <x:c r="G11" s="36" t="str">
        <x:v>Applications begin Sep 1</x:v>
      </x:c>
      <x:c r="H11" s="36" t="str">
        <x:v>Researching</x:v>
      </x:c>
      <x:c r="I11" s="68" t="str">
        <x:v>Check school-sponsored work-experience and site-location requirements</x:v>
      </x:c>
      <x:c r="J11" s="69"/>
      <x:c r="K11" s="70" t="str">
        <x:f>IF(J11="","",J11-TODAY())</x:f>
      </x:c>
      <x:c r="L11" s="36" t="str">
        <x:v>For high-school juniors during senior year; includes computer/engineering technology roles at selected sites.</x:v>
      </x:c>
      <x:c r="M11" s="36" t="str">
        <x:v>https://www.nsa.gov/Careers/Student-Programs/</x:v>
      </x:c>
    </x:row>
    <x:row r="12" ht="24" hidden="0" customHeight="1">
      <x:c r="A12" s="67" t="n">
        <x:v>7</x:v>
      </x:c>
      <x:c r="B12" s="36" t="str">
        <x:v>Microsoft High School Discovery</x:v>
      </x:c>
      <x:c r="C12" s="36" t="str">
        <x:v>Technology project experience</x:v>
      </x:c>
      <x:c r="D12" s="36" t="str">
        <x:v>Redmond, WA or Atlanta, GA</x:v>
      </x:c>
      <x:c r="E12" s="36" t="str">
        <x:v>Low fit due to location</x:v>
      </x:c>
      <x:c r="F12" s="36" t="str">
        <x:v>Microsoft Careers</x:v>
      </x:c>
      <x:c r="G12" s="36" t="str">
        <x:v>Check annual posting</x:v>
      </x:c>
      <x:c r="H12" s="36" t="str">
        <x:v>Researching</x:v>
      </x:c>
      <x:c r="I12" s="68" t="str">
        <x:v>Only pursue if location eligibility changes or a future college program is relevant</x:v>
      </x:c>
      <x:c r="J12" s="69"/>
      <x:c r="K12" s="70" t="str">
        <x:f>IF(J12="","",J12-TODAY())</x:f>
      </x:c>
      <x:c r="L12" s="36" t="str">
        <x:v>Four-week program for graduating seniors who live and attend school near Redmond or Atlanta.</x:v>
      </x:c>
      <x:c r="M12" s="36" t="str">
        <x:v>https://careers.microsoft.com/v2/global/en/discoveryprogram</x:v>
      </x:c>
    </x:row>
    <x:row r="13" ht="24" hidden="0" customHeight="1">
      <x:c r="A13" s="67" t="n">
        <x:v>8</x:v>
      </x:c>
      <x:c r="B13" s="36" t="str">
        <x:v>UCF research extension</x:v>
      </x:c>
      <x:c r="C13" s="36" t="str">
        <x:v>Computer vision, automation, HRI, XR, Unity</x:v>
      </x:c>
      <x:c r="D13" s="36" t="str">
        <x:v>Orlando, FL</x:v>
      </x:c>
      <x:c r="E13" s="36" t="str">
        <x:v>Strong fit</x:v>
      </x:c>
      <x:c r="F13" s="36" t="str">
        <x:v>Direct outreach to current research lead</x:v>
      </x:c>
      <x:c r="G13" s="36" t="str">
        <x:v>Ask this month</x:v>
      </x:c>
      <x:c r="H13" s="36" t="str">
        <x:v>Not started</x:v>
      </x:c>
      <x:c r="I13" s="68" t="str">
        <x:v>Draft a concise email asking about paid summer or project-based work</x:v>
      </x:c>
      <x:c r="J13" s="69"/>
      <x:c r="K13" s="70" t="str">
        <x:f>IF(J13="","",J13-TODAY())</x:f>
      </x:c>
      <x:c r="L13" s="36" t="str">
        <x:v>Leverage your current UCF research assistant experience and existing relationship.</x:v>
      </x:c>
      <x:c r="M13" s="36" t="str"/>
    </x:row>
    <x:row r="14" ht="24" hidden="0" customHeight="1">
      <x:c r="A14" s="67" t="n">
        <x:v>9</x:v>
      </x:c>
      <x:c r="B14" s="36" t="str">
        <x:v>Edge Systems follow-on</x:v>
      </x:c>
      <x:c r="C14" s="36" t="str">
        <x:v>Web development, React / Node.js</x:v>
      </x:c>
      <x:c r="D14" s="36" t="str">
        <x:v>Central Florida / project-dependent</x:v>
      </x:c>
      <x:c r="E14" s="36" t="str">
        <x:v>Strong fit</x:v>
      </x:c>
      <x:c r="F14" s="36" t="str">
        <x:v>Direct outreach to former manager</x:v>
      </x:c>
      <x:c r="G14" s="36" t="str">
        <x:v>Ask this month</x:v>
      </x:c>
      <x:c r="H14" s="36" t="str">
        <x:v>Not started</x:v>
      </x:c>
      <x:c r="I14" s="68" t="str">
        <x:v>Share updated résumé and ask about part-time or summer SWE needs</x:v>
      </x:c>
      <x:c r="J14" s="69"/>
      <x:c r="K14" s="70" t="str">
        <x:f>IF(J14="","",J14-TODAY())</x:f>
      </x:c>
      <x:c r="L14" s="36" t="str">
        <x:v>Leverage summer 2026 web-development team-lead experience.</x:v>
      </x:c>
      <x:c r="M14" s="36" t="str"/>
    </x:row>
    <x:row r="15" ht="24" hidden="0" customHeight="1">
      <x:c r="A15" s="67" t="n">
        <x:v>10</x:v>
      </x:c>
      <x:c r="B15" s="36" t="str">
        <x:v>FIRST mentor / sponsor referrals</x:v>
      </x:c>
      <x:c r="C15" s="36" t="str">
        <x:v>Robotics software, embedded systems, computer vision</x:v>
      </x:c>
      <x:c r="D15" s="36" t="str">
        <x:v>Central Florida / project-dependent</x:v>
      </x:c>
      <x:c r="E15" s="36" t="str">
        <x:v>Strong fit</x:v>
      </x:c>
      <x:c r="F15" s="36" t="str">
        <x:v>Ask team mentors and sponsors</x:v>
      </x:c>
      <x:c r="G15" s="36" t="str">
        <x:v>Start now</x:v>
      </x:c>
      <x:c r="H15" s="36" t="str">
        <x:v>Not started</x:v>
      </x:c>
      <x:c r="I15" s="68" t="str">
        <x:v>Request introductions to sponsors that hire student interns or project contributors</x:v>
      </x:c>
      <x:c r="J15" s="69"/>
      <x:c r="K15" s="70" t="str">
        <x:f>IF(J15="","",J15-TODAY())</x:f>
      </x:c>
      <x:c r="L15" s="36" t="str">
        <x:v>Use two FIRST Championship qualifications and outreach leadership as proof of impact.</x:v>
      </x:c>
      <x:c r="M15" s="36" t="str"/>
    </x:row>
    <x:row r="16" ht="15" hidden="0" customHeight="1">
      <x:c r="A16" s="67"/>
      <x:c r="B16" s="36"/>
      <x:c r="C16" s="36"/>
      <x:c r="D16" s="36"/>
      <x:c r="E16" s="36"/>
      <x:c r="F16" s="36"/>
      <x:c r="G16" s="36"/>
      <x:c r="H16" s="36"/>
      <x:c r="I16" s="68"/>
      <x:c r="J16" s="69"/>
      <x:c r="K16" s="70" t="str">
        <x:f>IF(J16="","",J16-TODAY())</x:f>
      </x:c>
      <x:c r="L16" s="36"/>
      <x:c r="M16" s="36"/>
    </x:row>
    <x:row r="17" ht="15" hidden="0" customHeight="1">
      <x:c r="A17" s="67"/>
      <x:c r="B17" s="36"/>
      <x:c r="C17" s="36"/>
      <x:c r="D17" s="36"/>
      <x:c r="E17" s="36"/>
      <x:c r="F17" s="36"/>
      <x:c r="G17" s="36"/>
      <x:c r="H17" s="36"/>
      <x:c r="I17" s="68"/>
      <x:c r="J17" s="69"/>
      <x:c r="K17" s="70" t="str">
        <x:f>IF(J17="","",J17-TODAY())</x:f>
      </x:c>
      <x:c r="L17" s="36"/>
      <x:c r="M17" s="36"/>
    </x:row>
    <x:row r="18" ht="15" hidden="0" customHeight="1">
      <x:c r="A18" s="67"/>
      <x:c r="B18" s="36"/>
      <x:c r="C18" s="36"/>
      <x:c r="D18" s="36"/>
      <x:c r="E18" s="36"/>
      <x:c r="F18" s="36"/>
      <x:c r="G18" s="36"/>
      <x:c r="H18" s="36"/>
      <x:c r="I18" s="68"/>
      <x:c r="J18" s="69"/>
      <x:c r="K18" s="70" t="str">
        <x:f>IF(J18="","",J18-TODAY())</x:f>
      </x:c>
      <x:c r="L18" s="36"/>
      <x:c r="M18" s="36"/>
    </x:row>
    <x:row r="19" ht="15" hidden="0" customHeight="1">
      <x:c r="A19" s="67"/>
      <x:c r="B19" s="36"/>
      <x:c r="C19" s="36"/>
      <x:c r="D19" s="36"/>
      <x:c r="E19" s="36"/>
      <x:c r="F19" s="36"/>
      <x:c r="G19" s="36"/>
      <x:c r="H19" s="36"/>
      <x:c r="I19" s="68"/>
      <x:c r="J19" s="69"/>
      <x:c r="K19" s="70" t="str">
        <x:f>IF(J19="","",J19-TODAY())</x:f>
      </x:c>
      <x:c r="L19" s="36"/>
      <x:c r="M19" s="36"/>
    </x:row>
    <x:row r="20" ht="15" hidden="0" customHeight="1">
      <x:c r="A20" s="67"/>
      <x:c r="B20" s="36"/>
      <x:c r="C20" s="36"/>
      <x:c r="D20" s="36"/>
      <x:c r="E20" s="36"/>
      <x:c r="F20" s="36"/>
      <x:c r="G20" s="36"/>
      <x:c r="H20" s="36"/>
      <x:c r="I20" s="68"/>
      <x:c r="J20" s="69"/>
      <x:c r="K20" s="70" t="str">
        <x:f>IF(J20="","",J20-TODAY())</x:f>
      </x:c>
      <x:c r="L20" s="36"/>
      <x:c r="M20" s="36"/>
    </x:row>
    <x:row r="21" ht="15" hidden="0" customHeight="1">
      <x:c r="A21" s="67"/>
      <x:c r="B21" s="36"/>
      <x:c r="C21" s="36"/>
      <x:c r="D21" s="36"/>
      <x:c r="E21" s="36"/>
      <x:c r="F21" s="36"/>
      <x:c r="G21" s="36"/>
      <x:c r="H21" s="36"/>
      <x:c r="I21" s="68"/>
      <x:c r="J21" s="69"/>
      <x:c r="K21" s="70" t="str">
        <x:f>IF(J21="","",J21-TODAY())</x:f>
      </x:c>
      <x:c r="L21" s="36"/>
      <x:c r="M21" s="36"/>
    </x:row>
    <x:row r="22" ht="15" hidden="0" customHeight="1">
      <x:c r="A22" s="67"/>
      <x:c r="B22" s="36"/>
      <x:c r="C22" s="36"/>
      <x:c r="D22" s="36"/>
      <x:c r="E22" s="36"/>
      <x:c r="F22" s="36"/>
      <x:c r="G22" s="36"/>
      <x:c r="H22" s="36"/>
      <x:c r="I22" s="68"/>
      <x:c r="J22" s="69"/>
      <x:c r="K22" s="70" t="str">
        <x:f>IF(J22="","",J22-TODAY())</x:f>
      </x:c>
      <x:c r="L22" s="36"/>
      <x:c r="M22" s="36"/>
    </x:row>
    <x:row r="23" ht="15" hidden="0" customHeight="1">
      <x:c r="A23" s="67"/>
      <x:c r="B23" s="36"/>
      <x:c r="C23" s="36"/>
      <x:c r="D23" s="36"/>
      <x:c r="E23" s="36"/>
      <x:c r="F23" s="36"/>
      <x:c r="G23" s="36"/>
      <x:c r="H23" s="36"/>
      <x:c r="I23" s="68"/>
      <x:c r="J23" s="69"/>
      <x:c r="K23" s="70" t="str">
        <x:f>IF(J23="","",J23-TODAY())</x:f>
      </x:c>
      <x:c r="L23" s="36"/>
      <x:c r="M23" s="36"/>
    </x:row>
    <x:row r="24" ht="15" hidden="0" customHeight="1">
      <x:c r="A24" s="67"/>
      <x:c r="B24" s="36"/>
      <x:c r="C24" s="36"/>
      <x:c r="D24" s="36"/>
      <x:c r="E24" s="36"/>
      <x:c r="F24" s="36"/>
      <x:c r="G24" s="36"/>
      <x:c r="H24" s="36"/>
      <x:c r="I24" s="68"/>
      <x:c r="J24" s="69"/>
      <x:c r="K24" s="70" t="str">
        <x:f>IF(J24="","",J24-TODAY())</x:f>
      </x:c>
      <x:c r="L24" s="36"/>
      <x:c r="M24" s="36"/>
    </x:row>
    <x:row r="25" ht="15" hidden="0" customHeight="1">
      <x:c r="A25" s="67"/>
      <x:c r="B25" s="36"/>
      <x:c r="C25" s="36"/>
      <x:c r="D25" s="36"/>
      <x:c r="E25" s="36"/>
      <x:c r="F25" s="36"/>
      <x:c r="G25" s="36"/>
      <x:c r="H25" s="36"/>
      <x:c r="I25" s="68"/>
      <x:c r="J25" s="69"/>
      <x:c r="K25" s="70" t="str">
        <x:f>IF(J25="","",J25-TODAY())</x:f>
      </x:c>
      <x:c r="L25" s="36"/>
      <x:c r="M25" s="36"/>
    </x:row>
    <x:row r="26" ht="15" hidden="0" customHeight="1">
      <x:c r="A26" s="67"/>
      <x:c r="B26" s="36"/>
      <x:c r="C26" s="36"/>
      <x:c r="D26" s="36"/>
      <x:c r="E26" s="36"/>
      <x:c r="F26" s="36"/>
      <x:c r="G26" s="36"/>
      <x:c r="H26" s="36"/>
      <x:c r="I26" s="68"/>
      <x:c r="J26" s="69"/>
      <x:c r="K26" s="70" t="str">
        <x:f>IF(J26="","",J26-TODAY())</x:f>
      </x:c>
      <x:c r="L26" s="36"/>
      <x:c r="M26" s="36"/>
    </x:row>
    <x:row r="27" ht="15" hidden="0" customHeight="1">
      <x:c r="A27" s="67"/>
      <x:c r="B27" s="36"/>
      <x:c r="C27" s="36"/>
      <x:c r="D27" s="36"/>
      <x:c r="E27" s="36"/>
      <x:c r="F27" s="36"/>
      <x:c r="G27" s="36"/>
      <x:c r="H27" s="36"/>
      <x:c r="I27" s="68"/>
      <x:c r="J27" s="69"/>
      <x:c r="K27" s="70" t="str">
        <x:f>IF(J27="","",J27-TODAY())</x:f>
      </x:c>
      <x:c r="L27" s="36"/>
      <x:c r="M27" s="36"/>
    </x:row>
    <x:row r="28" ht="15" hidden="0" customHeight="1">
      <x:c r="A28" s="67"/>
      <x:c r="B28" s="36"/>
      <x:c r="C28" s="36"/>
      <x:c r="D28" s="36"/>
      <x:c r="E28" s="36"/>
      <x:c r="F28" s="36"/>
      <x:c r="G28" s="36"/>
      <x:c r="H28" s="36"/>
      <x:c r="I28" s="68"/>
      <x:c r="J28" s="69"/>
      <x:c r="K28" s="70" t="str">
        <x:f>IF(J28="","",J28-TODAY())</x:f>
      </x:c>
      <x:c r="L28" s="36"/>
      <x:c r="M28" s="36"/>
    </x:row>
    <x:row r="29" ht="15" hidden="0" customHeight="1">
      <x:c r="A29" s="67"/>
      <x:c r="B29" s="36"/>
      <x:c r="C29" s="36"/>
      <x:c r="D29" s="36"/>
      <x:c r="E29" s="36"/>
      <x:c r="F29" s="36"/>
      <x:c r="G29" s="36"/>
      <x:c r="H29" s="36"/>
      <x:c r="I29" s="68"/>
      <x:c r="J29" s="69"/>
      <x:c r="K29" s="70" t="str">
        <x:f>IF(J29="","",J29-TODAY())</x:f>
      </x:c>
      <x:c r="L29" s="36"/>
      <x:c r="M29" s="36"/>
    </x:row>
    <x:row r="30" ht="15" hidden="0" customHeight="1">
      <x:c r="A30" s="67"/>
      <x:c r="B30" s="36"/>
      <x:c r="C30" s="36"/>
      <x:c r="D30" s="36"/>
      <x:c r="E30" s="36"/>
      <x:c r="F30" s="36"/>
      <x:c r="G30" s="36"/>
      <x:c r="H30" s="36"/>
      <x:c r="I30" s="68"/>
      <x:c r="J30" s="69"/>
      <x:c r="K30" s="70" t="str">
        <x:f>IF(J30="","",J30-TODAY())</x:f>
      </x:c>
      <x:c r="L30" s="36"/>
      <x:c r="M30" s="36"/>
    </x:row>
  </x:sheetData>
  <x:conditionalFormatting sqref="H6:H30">
    <x:cfRule type="containsText" dxfId="0" priority="1" operator="containsText" text="Applied"/>
    <x:cfRule type="containsText" dxfId="1" priority="2" operator="containsText" text="Ready to apply"/>
    <x:cfRule type="containsText" dxfId="2" priority="3" operator="containsText" text="Researching"/>
  </x:conditionalFormatting>
  <x:conditionalFormatting sqref="K6:K30">
    <x:cfRule type="cellIs" dxfId="3" priority="4" operator="between">
      <x:formula>0</x:formula>
      <x:formula>14</x:formula>
    </x:cfRule>
  </x:conditionalFormatting>
  <x:dataValidations count="2">
    <x:dataValidation type="list" sqref="H6:H30">
      <x:formula1>"Not started,Researching,Ready to apply,Applied,Interviewing,Closed,Not eligible"</x:formula1>
    </x:dataValidation>
    <x:dataValidation type="list" sqref="E6:E30">
      <x:formula1>"Strong fit,Conditional fit,Verify before applying,Low fit due to location"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6a1d23510a4625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55" hidden="0" customWidth="1"/>
    <x:col min="4" max="4" width="15" hidden="0" customWidth="1"/>
  </x:cols>
  <x:sheetData>
    <x:row r="1">
      <x:c r="A1" s="1" t="str">
        <x:v>Sources</x:v>
      </x:c>
      <x:c r="B1" s="65"/>
      <x:c r="C1" s="65"/>
      <x:c r="D1" s="65"/>
    </x:row>
    <x:row r="2">
      <x:c r="A2" s="72" t="str">
        <x:v>Official program pages used to seed the tracker. Requirements and deadlines can change; review the linked page before applying.</x:v>
      </x:c>
      <x:c r="B2" s="73"/>
      <x:c r="C2" s="73"/>
      <x:c r="D2" s="73"/>
    </x:row>
    <x:row r="3">
      <x:c r="A3" s="32"/>
      <x:c r="B3" s="32"/>
      <x:c r="C3" s="32"/>
      <x:c r="D3" s="32"/>
    </x:row>
    <x:row r="4">
      <x:c r="A4" s="33"/>
      <x:c r="B4" s="33"/>
      <x:c r="C4" s="33"/>
      <x:c r="D4" s="33"/>
    </x:row>
    <x:row r="5" ht="15" hidden="0" customHeight="1">
      <x:c r="A5" s="77" t="str">
        <x:v>Program</x:v>
      </x:c>
      <x:c r="B5" s="77" t="str">
        <x:v>Official source</x:v>
      </x:c>
      <x:c r="C5" s="77" t="str">
        <x:v>What it supports</x:v>
      </x:c>
      <x:c r="D5" s="77" t="str">
        <x:v>Checked</x:v>
      </x:c>
    </x:row>
    <x:row r="6" ht="24" hidden="0" customHeight="1">
      <x:c r="A6" s="75" t="str">
        <x:v>Navy SEAP</x:v>
      </x:c>
      <x:c r="B6" s="75" t="str">
        <x:v>https://www.onr.navy.mil/education-outreach/k-12-programs/seap</x:v>
      </x:c>
      <x:c r="C6" s="75" t="str">
        <x:v>High-school STEM apprenticeships; Summer 2027 portal expected in September 2026.</x:v>
      </x:c>
      <x:c r="D6" s="76" t="n">
        <x:v>46270</x:v>
      </x:c>
    </x:row>
    <x:row r="7" ht="15" hidden="0" customHeight="1">
      <x:c r="A7" s="75" t="str">
        <x:v>NAWCTSD</x:v>
      </x:c>
      <x:c r="B7" s="75" t="str">
        <x:v>https://www.navair.navy.mil/nawctsd/node/216</x:v>
      </x:c>
      <x:c r="C7" s="75" t="str">
        <x:v>Orlando-area Navy STEM outreach and SEAP mentoring context.</x:v>
      </x:c>
      <x:c r="D7" s="76" t="n">
        <x:v>46270</x:v>
      </x:c>
    </x:row>
    <x:row r="8" ht="15" hidden="0" customHeight="1">
      <x:c r="A8" s="75" t="str">
        <x:v>NASA internships</x:v>
      </x:c>
      <x:c r="B8" s="75" t="str">
        <x:v>https://www.nasa.gov/learning-resources/internship-programs/</x:v>
      </x:c>
      <x:c r="C8" s="75" t="str">
        <x:v>NASA sessions, deadlines, and current eligibility overview.</x:v>
      </x:c>
      <x:c r="D8" s="76" t="n">
        <x:v>46270</x:v>
      </x:c>
    </x:row>
    <x:row r="9" ht="15" hidden="0" customHeight="1">
      <x:c r="A9" s="75" t="str">
        <x:v>NASA SACD</x:v>
      </x:c>
      <x:c r="B9" s="75" t="str">
        <x:v>https://www.nasa.gov/sacd-internships/</x:v>
      </x:c>
      <x:c r="C9" s="75" t="str">
        <x:v>SACD notes high-school paid internship and volunteer opportunities.</x:v>
      </x:c>
      <x:c r="D9" s="76" t="n">
        <x:v>46270</x:v>
      </x:c>
    </x:row>
    <x:row r="10" ht="15" hidden="0" customHeight="1">
      <x:c r="A10" s="75" t="str">
        <x:v>NIH SIP</x:v>
      </x:c>
      <x:c r="B10" s="75" t="str">
        <x:v>https://www.niehs.nih.gov/careers/research/summers/require</x:v>
      </x:c>
      <x:c r="C10" s="75" t="str">
        <x:v>NIH high-school senior age, graduation, citizenship, and location conditions.</x:v>
      </x:c>
      <x:c r="D10" s="76" t="n">
        <x:v>46270</x:v>
      </x:c>
    </x:row>
    <x:row r="11" ht="15" hidden="0" customHeight="1">
      <x:c r="A11" s="75" t="str">
        <x:v>NSA Student Programs</x:v>
      </x:c>
      <x:c r="B11" s="75" t="str">
        <x:v>https://www.nsa.gov/Careers/Student-Programs/</x:v>
      </x:c>
      <x:c r="C11" s="75" t="str">
        <x:v>High School Work Study locations, scope, and annual application timing.</x:v>
      </x:c>
      <x:c r="D11" s="76" t="n">
        <x:v>46270</x:v>
      </x:c>
    </x:row>
    <x:row r="12" ht="15" hidden="0" customHeight="1">
      <x:c r="A12" s="75" t="str">
        <x:v>Microsoft Discovery</x:v>
      </x:c>
      <x:c r="B12" s="75" t="str">
        <x:v>https://careers.microsoft.com/v2/global/en/discoveryprogram</x:v>
      </x:c>
      <x:c r="C12" s="75" t="str">
        <x:v>Program format and Redmond/Atlanta eligibility.</x:v>
      </x:c>
      <x:c r="D12" s="76" t="n">
        <x:v>46270</x:v>
      </x:c>
    </x:row>
  </x:sheetData>
  <x:pageMargins left="0.7" right="0.7" top="0.75" bottom="0.75" header="0.3" footer="0.3"/>
  <x:tableParts count="1">
    <x:tablePart xmlns:r="http://schemas.openxmlformats.org/officeDocument/2006/relationships" r:id="Ra87ec557e29e4500"/>
  </x:tableParts>
</x:worksheet>
</file>